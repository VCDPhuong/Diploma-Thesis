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Diploma-Thesis\"/>
    </mc:Choice>
  </mc:AlternateContent>
  <xr:revisionPtr revIDLastSave="0" documentId="8_{36EE611E-1D84-4484-ACC3-3DF129F13123}" xr6:coauthVersionLast="47" xr6:coauthVersionMax="47" xr10:uidLastSave="{00000000-0000-0000-0000-000000000000}"/>
  <bookViews>
    <workbookView xWindow="-120" yWindow="-120" windowWidth="29040" windowHeight="15720" xr2:uid="{3831FB66-E462-4D2F-BE31-1EB6A20DB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3" i="1"/>
  <c r="H4" i="1"/>
  <c r="H6" i="1"/>
  <c r="H8" i="1"/>
  <c r="H9" i="1"/>
  <c r="H10" i="1"/>
  <c r="H11" i="1"/>
  <c r="H3" i="1"/>
  <c r="G4" i="1"/>
  <c r="G6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<sst xmlns="http://schemas.openxmlformats.org/spreadsheetml/2006/main" count="44" uniqueCount="32">
  <si>
    <t>Ours</t>
  </si>
  <si>
    <t>Experiment</t>
  </si>
  <si>
    <t>Error ratio:</t>
  </si>
  <si>
    <t>Theory</t>
  </si>
  <si>
    <t>Source Type</t>
  </si>
  <si>
    <t>a (Å)</t>
  </si>
  <si>
    <t>c (Å)</t>
  </si>
  <si>
    <t>Method/Notes</t>
  </si>
  <si>
    <t>Reference</t>
  </si>
  <si>
    <t>Experimental</t>
  </si>
  <si>
    <t>XRD on polycrystalline RuO₂</t>
  </si>
  <si>
    <t>Gaudet et al., 2005 – Chem. Mater. 🔗</t>
  </si>
  <si>
    <t>Single-crystal XRD</t>
  </si>
  <si>
    <t>Butler &amp; Gillson, 1971 – Mater. Res. Bull. 🔗</t>
  </si>
  <si>
    <t>4.48–4.52</t>
  </si>
  <si>
    <t>3.09–3.12</t>
  </si>
  <si>
    <t>Nanocrystals (variation due to strain/size)</t>
  </si>
  <si>
    <t>Sivakami et al., 2016 – Spectrochim. Acta A 🔗</t>
  </si>
  <si>
    <t>Epitaxial thin films on TiO₂ substrate</t>
  </si>
  <si>
    <t>Stoerzinger et al., 2017 – ACS Energy Lett. 🔗</t>
  </si>
  <si>
    <t>💻 Theoretical (DFT-based) Calculations</t>
  </si>
  <si>
    <t>Functional/Method</t>
  </si>
  <si>
    <t>Theoretical</t>
  </si>
  <si>
    <t>GGA (PBE), plane-wave DFT</t>
  </si>
  <si>
    <t>Mehtougui et al., 2012 – Mater. Sci. Semicond. Process. 🔗</t>
  </si>
  <si>
    <t>LDA + U</t>
  </si>
  <si>
    <t>Sharma et al., 2021 – Physica Scripta 🔗</t>
  </si>
  <si>
    <t>2D monolayer (T′ phase) via DFT</t>
  </si>
  <si>
    <t>Ersan et al., 2019 – Philosophical Magazine 🔗</t>
  </si>
  <si>
    <t>Hybrid functionals (HSE06)</t>
  </si>
  <si>
    <t>Khalfi et al., 2003 – Physica B 🔗</t>
  </si>
  <si>
    <t>Max error (in percent):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</si>
</sst>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921452603004174" TargetMode="External"/><Relationship Id="rId3" Type="http://schemas.openxmlformats.org/officeDocument/2006/relationships/hyperlink" Target="https://www.researchgate.net/publication/301615586" TargetMode="External"/><Relationship Id="rId7" Type="http://schemas.openxmlformats.org/officeDocument/2006/relationships/hyperlink" Target="https://www.tandfonline.com/doi/abs/10.1080/14786435.2018.1538576" TargetMode="External"/><Relationship Id="rId2" Type="http://schemas.openxmlformats.org/officeDocument/2006/relationships/hyperlink" Target="https://bdt.semi.ac.cn/library/upload/files/2022/1/29104350394.pdf" TargetMode="External"/><Relationship Id="rId1" Type="http://schemas.openxmlformats.org/officeDocument/2006/relationships/hyperlink" Target="https://pubs.acs.org/doi/abs/10.1021/cm048129l" TargetMode="External"/><Relationship Id="rId6" Type="http://schemas.openxmlformats.org/officeDocument/2006/relationships/hyperlink" Target="https://iopscience.iop.org/article/10.1088/1402-4896/abec00/meta" TargetMode="External"/><Relationship Id="rId5" Type="http://schemas.openxmlformats.org/officeDocument/2006/relationships/hyperlink" Target="https://www.sciencedirect.com/science/article/pii/S1369800112000066" TargetMode="External"/><Relationship Id="rId4" Type="http://schemas.openxmlformats.org/officeDocument/2006/relationships/hyperlink" Target="https://dspace.mit.edu/bitstream/handle/1721.1/119888/RuO2_OLEMS_vR.pdf?sequenc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7E55-D700-4353-846A-01083744CB92}">
  <dimension ref="B2:T16"/>
  <sheetViews>
    <sheetView tabSelected="1" zoomScale="115" zoomScaleNormal="115" workbookViewId="0">
      <selection activeCell="S15" sqref="S15"/>
    </sheetView>
  </sheetViews>
  <sheetFormatPr defaultRowHeight="15" x14ac:dyDescent="0.25"/>
  <cols>
    <col min="4" max="4" width="9.42578125" customWidth="1"/>
    <col min="5" max="5" width="12.7109375" customWidth="1"/>
    <col min="6" max="6" width="16.140625" customWidth="1"/>
    <col min="7" max="7" width="13.5703125" customWidth="1"/>
    <col min="8" max="8" width="11.7109375" customWidth="1"/>
    <col min="9" max="9" width="10.140625" customWidth="1"/>
    <col min="10" max="10" width="26.28515625" customWidth="1"/>
    <col min="11" max="11" width="12.28515625" customWidth="1"/>
    <col min="17" max="17" width="26.140625" customWidth="1"/>
    <col min="18" max="18" width="11.42578125" customWidth="1"/>
    <col min="19" max="19" width="20.42578125" customWidth="1"/>
    <col min="20" max="20" width="46" customWidth="1"/>
  </cols>
  <sheetData>
    <row r="2" spans="2:20" x14ac:dyDescent="0.25">
      <c r="B2" t="s">
        <v>0</v>
      </c>
      <c r="E2" t="s">
        <v>1</v>
      </c>
      <c r="G2" t="s">
        <v>2</v>
      </c>
      <c r="J2" t="s">
        <v>31</v>
      </c>
    </row>
    <row r="3" spans="2:20" x14ac:dyDescent="0.25">
      <c r="B3">
        <v>4.5404999999999998</v>
      </c>
      <c r="C3">
        <v>3.1322999999999999</v>
      </c>
      <c r="E3">
        <v>4.4993999999999996</v>
      </c>
      <c r="F3">
        <v>3.1071</v>
      </c>
      <c r="G3">
        <f>ABS(E3-$B$3)/$B$3</f>
        <v>9.0518665345226609E-3</v>
      </c>
      <c r="H3">
        <f>ABS(F3-$C$3)/$C$3</f>
        <v>8.0452063978545766E-3</v>
      </c>
      <c r="J3">
        <f>MAX(G3:H3)*100</f>
        <v>0.90518665345226612</v>
      </c>
      <c r="P3" t="s">
        <v>4</v>
      </c>
      <c r="Q3" t="s">
        <v>5</v>
      </c>
      <c r="R3" t="s">
        <v>6</v>
      </c>
      <c r="S3" t="s">
        <v>7</v>
      </c>
      <c r="T3" t="s">
        <v>8</v>
      </c>
    </row>
    <row r="4" spans="2:20" ht="33" customHeight="1" x14ac:dyDescent="0.25">
      <c r="E4">
        <v>4.4909999999999997</v>
      </c>
      <c r="F4">
        <v>3.1059999999999999</v>
      </c>
      <c r="G4">
        <f t="shared" ref="G4:G11" si="0">ABS(E4-$B$3)/$B$3</f>
        <v>1.0901883052527277E-2</v>
      </c>
      <c r="H4">
        <f t="shared" ref="H4:H11" si="1">ABS(F4-$C$3)/$C$3</f>
        <v>8.3963860422054046E-3</v>
      </c>
      <c r="J4">
        <f t="shared" ref="J4:J11" si="2">MAX(G4:H4)*100</f>
        <v>1.0901883052527277</v>
      </c>
      <c r="P4" t="s">
        <v>9</v>
      </c>
      <c r="Q4">
        <v>4.4993999999999996</v>
      </c>
      <c r="R4">
        <v>3.1071</v>
      </c>
      <c r="S4" t="s">
        <v>10</v>
      </c>
      <c r="T4" t="s">
        <v>11</v>
      </c>
    </row>
    <row r="5" spans="2:20" ht="37.5" customHeight="1" x14ac:dyDescent="0.25">
      <c r="E5" t="s">
        <v>14</v>
      </c>
      <c r="F5" t="s">
        <v>15</v>
      </c>
      <c r="J5">
        <f t="shared" si="2"/>
        <v>0</v>
      </c>
      <c r="P5" t="s">
        <v>9</v>
      </c>
      <c r="Q5">
        <v>4.4909999999999997</v>
      </c>
      <c r="R5">
        <v>3.1059999999999999</v>
      </c>
      <c r="S5" t="s">
        <v>12</v>
      </c>
      <c r="T5" t="s">
        <v>13</v>
      </c>
    </row>
    <row r="6" spans="2:20" ht="42.75" customHeight="1" x14ac:dyDescent="0.25">
      <c r="E6">
        <v>4.49</v>
      </c>
      <c r="F6">
        <v>3.1040000000000001</v>
      </c>
      <c r="G6">
        <f t="shared" si="0"/>
        <v>1.1122123114194372E-2</v>
      </c>
      <c r="H6">
        <f t="shared" si="1"/>
        <v>9.0348944864795111E-3</v>
      </c>
      <c r="J6">
        <f t="shared" si="2"/>
        <v>1.1122123114194371</v>
      </c>
      <c r="P6" t="s">
        <v>9</v>
      </c>
      <c r="Q6" t="s">
        <v>14</v>
      </c>
      <c r="R6" t="s">
        <v>15</v>
      </c>
      <c r="S6" t="s">
        <v>16</v>
      </c>
      <c r="T6" t="s">
        <v>17</v>
      </c>
    </row>
    <row r="7" spans="2:20" ht="23.25" customHeight="1" x14ac:dyDescent="0.25">
      <c r="E7" t="s">
        <v>3</v>
      </c>
      <c r="J7">
        <f t="shared" si="2"/>
        <v>0</v>
      </c>
      <c r="P7" t="s">
        <v>9</v>
      </c>
      <c r="Q7">
        <v>4.49</v>
      </c>
      <c r="R7">
        <v>3.1040000000000001</v>
      </c>
      <c r="S7" t="s">
        <v>18</v>
      </c>
      <c r="T7" t="s">
        <v>19</v>
      </c>
    </row>
    <row r="8" spans="2:20" x14ac:dyDescent="0.25">
      <c r="E8">
        <v>4.5049999999999999</v>
      </c>
      <c r="F8">
        <v>3.1080000000000001</v>
      </c>
      <c r="G8">
        <f t="shared" si="0"/>
        <v>7.8185221891861837E-3</v>
      </c>
      <c r="H8">
        <f t="shared" si="1"/>
        <v>7.7578775979311584E-3</v>
      </c>
      <c r="J8">
        <f t="shared" si="2"/>
        <v>0.78185221891861834</v>
      </c>
    </row>
    <row r="9" spans="2:20" x14ac:dyDescent="0.25">
      <c r="E9">
        <v>4.5149999999999997</v>
      </c>
      <c r="F9">
        <v>3.11</v>
      </c>
      <c r="G9">
        <f t="shared" si="0"/>
        <v>5.6161215725140578E-3</v>
      </c>
      <c r="H9">
        <f t="shared" si="1"/>
        <v>7.1193691536570528E-3</v>
      </c>
      <c r="J9">
        <f t="shared" si="2"/>
        <v>0.71193691536570525</v>
      </c>
    </row>
    <row r="10" spans="2:20" x14ac:dyDescent="0.25">
      <c r="E10">
        <v>4.76</v>
      </c>
      <c r="F10">
        <v>3.09</v>
      </c>
      <c r="G10">
        <f t="shared" si="0"/>
        <v>4.8342693535954197E-2</v>
      </c>
      <c r="H10">
        <f t="shared" si="1"/>
        <v>1.3504453596398814E-2</v>
      </c>
      <c r="J10">
        <f t="shared" si="2"/>
        <v>4.8342693535954195</v>
      </c>
      <c r="P10" t="s">
        <v>20</v>
      </c>
    </row>
    <row r="11" spans="2:20" x14ac:dyDescent="0.25">
      <c r="E11">
        <v>4.5</v>
      </c>
      <c r="F11">
        <v>3.12</v>
      </c>
      <c r="G11">
        <f t="shared" si="0"/>
        <v>8.9197224975222471E-3</v>
      </c>
      <c r="H11">
        <f t="shared" si="1"/>
        <v>3.9268269322861012E-3</v>
      </c>
      <c r="J11">
        <f t="shared" si="2"/>
        <v>0.89197224975222467</v>
      </c>
    </row>
    <row r="12" spans="2:20" x14ac:dyDescent="0.25">
      <c r="P12" t="s">
        <v>4</v>
      </c>
      <c r="Q12" t="s">
        <v>5</v>
      </c>
      <c r="R12" t="s">
        <v>6</v>
      </c>
      <c r="S12" t="s">
        <v>21</v>
      </c>
      <c r="T12" t="s">
        <v>8</v>
      </c>
    </row>
    <row r="13" spans="2:20" x14ac:dyDescent="0.25">
      <c r="P13" t="s">
        <v>22</v>
      </c>
      <c r="Q13">
        <v>4.5049999999999999</v>
      </c>
      <c r="R13">
        <v>3.1080000000000001</v>
      </c>
      <c r="S13" t="s">
        <v>23</v>
      </c>
      <c r="T13" t="s">
        <v>24</v>
      </c>
    </row>
    <row r="14" spans="2:20" x14ac:dyDescent="0.25">
      <c r="P14" t="s">
        <v>22</v>
      </c>
      <c r="Q14">
        <v>4.5149999999999997</v>
      </c>
      <c r="R14">
        <v>3.11</v>
      </c>
      <c r="S14" t="s">
        <v>25</v>
      </c>
      <c r="T14" t="s">
        <v>26</v>
      </c>
    </row>
    <row r="15" spans="2:20" x14ac:dyDescent="0.25">
      <c r="P15" t="s">
        <v>22</v>
      </c>
      <c r="Q15">
        <v>4.76</v>
      </c>
      <c r="R15">
        <v>3.09</v>
      </c>
      <c r="S15" t="s">
        <v>27</v>
      </c>
      <c r="T15" t="s">
        <v>28</v>
      </c>
    </row>
    <row r="16" spans="2:20" x14ac:dyDescent="0.25">
      <c r="P16" t="s">
        <v>22</v>
      </c>
      <c r="Q16">
        <v>4.5</v>
      </c>
      <c r="R16">
        <v>3.12</v>
      </c>
      <c r="S16" t="s">
        <v>29</v>
      </c>
      <c r="T16" t="s">
        <v>30</v>
      </c>
    </row>
  </sheetData>
  <hyperlinks>
    <hyperlink ref="T4" r:id="rId1" display="https://pubs.acs.org/doi/abs/10.1021/cm048129l" xr:uid="{1DF290C8-7D39-466A-97F1-05A7BDFE7A36}"/>
    <hyperlink ref="T5" r:id="rId2" display="https://bdt.semi.ac.cn/library/upload/files/2022/1/29104350394.pdf" xr:uid="{4DFB1085-A883-4036-9286-5402046D7BF0}"/>
    <hyperlink ref="T6" r:id="rId3" display="https://www.researchgate.net/publication/301615586" xr:uid="{4DB78263-50F7-4A69-A691-F42B314E3274}"/>
    <hyperlink ref="T7" r:id="rId4" display="https://dspace.mit.edu/bitstream/handle/1721.1/119888/RuO2_OLEMS_vR.pdf?sequence=1" xr:uid="{99735AE7-F269-4A5E-9F1D-2DD7D995C29C}"/>
    <hyperlink ref="T13" r:id="rId5" display="https://www.sciencedirect.com/science/article/pii/S1369800112000066" xr:uid="{AA11E399-4AA5-47DF-913E-910A3D486737}"/>
    <hyperlink ref="T14" r:id="rId6" display="https://iopscience.iop.org/article/10.1088/1402-4896/abec00/meta" xr:uid="{FBC49E4F-60FB-4515-87BF-C4E801B80CDC}"/>
    <hyperlink ref="T15" r:id="rId7" display="https://www.tandfonline.com/doi/abs/10.1080/14786435.2018.1538576" xr:uid="{8A3C451B-5243-4714-AD02-AF70E081292F}"/>
    <hyperlink ref="T16" r:id="rId8" display="https://www.sciencedirect.com/science/article/pii/S0921452603004174" xr:uid="{C1A58B5C-F46F-49B2-B1C8-4E0C977951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Lostreangthe</dc:creator>
  <cp:lastModifiedBy>Van Lostreangthe</cp:lastModifiedBy>
  <dcterms:created xsi:type="dcterms:W3CDTF">2025-06-24T12:39:55Z</dcterms:created>
  <dcterms:modified xsi:type="dcterms:W3CDTF">2025-06-24T16:27:41Z</dcterms:modified>
</cp:coreProperties>
</file>