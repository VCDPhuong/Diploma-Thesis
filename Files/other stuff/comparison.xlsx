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GitHub\Diploma-Thesis\"/>
    </mc:Choice>
  </mc:AlternateContent>
  <xr:revisionPtr revIDLastSave="0" documentId="13_ncr:1_{3437735F-7992-4227-8C93-00A92F44AB99}" xr6:coauthVersionLast="47" xr6:coauthVersionMax="47" xr10:uidLastSave="{00000000-0000-0000-0000-000000000000}"/>
  <bookViews>
    <workbookView xWindow="-120" yWindow="-120" windowWidth="29040" windowHeight="15720" xr2:uid="{3831FB66-E462-4D2F-BE31-1EB6A20DBC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K22" i="1"/>
  <c r="K23" i="1"/>
  <c r="K24" i="1"/>
  <c r="K20" i="1"/>
  <c r="H11" i="1"/>
  <c r="G11" i="1"/>
  <c r="I11" i="1" s="1"/>
  <c r="H4" i="1"/>
  <c r="H6" i="1"/>
  <c r="H8" i="1"/>
  <c r="H10" i="1"/>
  <c r="H3" i="1"/>
  <c r="G4" i="1"/>
  <c r="G6" i="1"/>
  <c r="G8" i="1"/>
  <c r="G10" i="1"/>
  <c r="G3" i="1"/>
  <c r="I4" i="1" l="1"/>
  <c r="I6" i="1"/>
  <c r="I8" i="1"/>
  <c r="I3" i="1"/>
  <c r="I10" i="1"/>
</calcChain>
</file>

<file path=xl/sharedStrings.xml><?xml version="1.0" encoding="utf-8"?>
<sst xmlns="http://schemas.openxmlformats.org/spreadsheetml/2006/main" count="70" uniqueCount="49">
  <si>
    <t>Ours</t>
  </si>
  <si>
    <t>Experiment</t>
  </si>
  <si>
    <t>Error ratio:</t>
  </si>
  <si>
    <t>Theory</t>
  </si>
  <si>
    <t>Source Type</t>
  </si>
  <si>
    <t>a (Å)</t>
  </si>
  <si>
    <t>c (Å)</t>
  </si>
  <si>
    <t>Method/Notes</t>
  </si>
  <si>
    <t>Reference</t>
  </si>
  <si>
    <t>Experimental</t>
  </si>
  <si>
    <t>XRD on polycrystalline RuO₂</t>
  </si>
  <si>
    <t>Gaudet et al., 2005 – Chem. Mater. 🔗</t>
  </si>
  <si>
    <t>Single-crystal XRD</t>
  </si>
  <si>
    <t>Butler &amp; Gillson, 1971 – Mater. Res. Bull. 🔗</t>
  </si>
  <si>
    <t>4.48–4.52</t>
  </si>
  <si>
    <t>3.09–3.12</t>
  </si>
  <si>
    <t>Nanocrystals (variation due to strain/size)</t>
  </si>
  <si>
    <t>Epitaxial thin films on TiO₂ substrate</t>
  </si>
  <si>
    <t>Stoerzinger et al., 2017 – ACS Energy Lett. 🔗</t>
  </si>
  <si>
    <t>💻 Theoretical (DFT-based) Calculations</t>
  </si>
  <si>
    <t>Functional/Method</t>
  </si>
  <si>
    <t>Theoretical</t>
  </si>
  <si>
    <t>GGA (PBE), plane-wave DFT</t>
  </si>
  <si>
    <t>Mehtougui et al., 2012 – Mater. Sci. Semicond. Process. 🔗</t>
  </si>
  <si>
    <t>LDA + U</t>
  </si>
  <si>
    <t>Sharma et al., 2021 – Physica Scripta 🔗</t>
  </si>
  <si>
    <t>2D monolayer (T′ phase) via DFT</t>
  </si>
  <si>
    <t>Ersan et al., 2019 – Philosophical Magazine 🔗</t>
  </si>
  <si>
    <t>Khalfi et al., 2003 – Physica B 🔗</t>
  </si>
  <si>
    <t>Vary dope</t>
  </si>
  <si>
    <t>Hole</t>
  </si>
  <si>
    <t>e</t>
  </si>
  <si>
    <t>absolute</t>
  </si>
  <si>
    <t>Fermi</t>
  </si>
  <si>
    <t>Ru1</t>
  </si>
  <si>
    <t>Ru2</t>
  </si>
  <si>
    <t>Number</t>
  </si>
  <si>
    <t>checked</t>
  </si>
  <si>
    <t>good, have sub (SnO2)</t>
  </si>
  <si>
    <t>good, little bit of old</t>
  </si>
  <si>
    <t>https://doi.org/10.1016/j.saa.2015.07.008</t>
  </si>
  <si>
    <t>can't access</t>
  </si>
  <si>
    <t>not see mentioned</t>
  </si>
  <si>
    <t>okay, many other method also</t>
  </si>
  <si>
    <t>GGA</t>
  </si>
  <si>
    <t>a</t>
  </si>
  <si>
    <t>c</t>
  </si>
  <si>
    <t>Max error (in percent)</t>
  </si>
  <si>
    <t>Pristine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</si>
</sst>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333333"/>
      <name val="Segoe U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1"/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iencedirect.com/science/article/pii/S0921452603004174" TargetMode="External"/><Relationship Id="rId3" Type="http://schemas.openxmlformats.org/officeDocument/2006/relationships/hyperlink" Target="https://doi.org/10.1016/j.saa.2015.07.008" TargetMode="External"/><Relationship Id="rId7" Type="http://schemas.openxmlformats.org/officeDocument/2006/relationships/hyperlink" Target="https://www.tandfonline.com/doi/abs/10.1080/14786435.2018.1538576" TargetMode="External"/><Relationship Id="rId2" Type="http://schemas.openxmlformats.org/officeDocument/2006/relationships/hyperlink" Target="https://bdt.semi.ac.cn/library/upload/files/2022/1/29104350394.pdf" TargetMode="External"/><Relationship Id="rId1" Type="http://schemas.openxmlformats.org/officeDocument/2006/relationships/hyperlink" Target="https://pubs.acs.org/doi/abs/10.1021/cm048129l" TargetMode="External"/><Relationship Id="rId6" Type="http://schemas.openxmlformats.org/officeDocument/2006/relationships/hyperlink" Target="https://iopscience.iop.org/article/10.1088/1402-4896/abec00/meta" TargetMode="External"/><Relationship Id="rId5" Type="http://schemas.openxmlformats.org/officeDocument/2006/relationships/hyperlink" Target="https://www.sciencedirect.com/science/article/pii/S1369800112000066" TargetMode="External"/><Relationship Id="rId4" Type="http://schemas.openxmlformats.org/officeDocument/2006/relationships/hyperlink" Target="https://dspace.mit.edu/bitstream/handle/1721.1/119888/RuO2_OLEMS_vR.pdf?sequence=1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47E55-D700-4353-846A-01083744CB92}">
  <dimension ref="A2:U24"/>
  <sheetViews>
    <sheetView tabSelected="1" topLeftCell="A4" zoomScale="130" zoomScaleNormal="130" workbookViewId="0">
      <selection activeCell="F15" sqref="F15"/>
    </sheetView>
  </sheetViews>
  <sheetFormatPr defaultRowHeight="15" x14ac:dyDescent="0.25"/>
  <cols>
    <col min="4" max="4" width="11.28515625" customWidth="1"/>
    <col min="5" max="5" width="12.7109375" customWidth="1"/>
    <col min="6" max="6" width="16.140625" customWidth="1"/>
    <col min="7" max="7" width="13.5703125" customWidth="1"/>
    <col min="8" max="8" width="11.7109375" customWidth="1"/>
    <col min="9" max="9" width="20.42578125" customWidth="1"/>
    <col min="10" max="10" width="11.7109375" customWidth="1"/>
    <col min="11" max="11" width="12.28515625" customWidth="1"/>
    <col min="16" max="16" width="17.28515625" customWidth="1"/>
    <col min="17" max="17" width="26.140625" customWidth="1"/>
    <col min="18" max="18" width="11.42578125" customWidth="1"/>
    <col min="19" max="19" width="31.140625" customWidth="1"/>
    <col min="20" max="20" width="46" customWidth="1"/>
    <col min="21" max="21" width="26.85546875" customWidth="1"/>
  </cols>
  <sheetData>
    <row r="2" spans="1:21" x14ac:dyDescent="0.25">
      <c r="B2" t="s">
        <v>0</v>
      </c>
      <c r="D2" s="3"/>
      <c r="E2" s="3" t="s">
        <v>45</v>
      </c>
      <c r="F2" s="3" t="s">
        <v>46</v>
      </c>
      <c r="G2" s="3" t="s">
        <v>2</v>
      </c>
      <c r="H2" s="3"/>
      <c r="I2" s="3" t="s">
        <v>47</v>
      </c>
    </row>
    <row r="3" spans="1:21" x14ac:dyDescent="0.25">
      <c r="B3">
        <v>4.5404999999999998</v>
      </c>
      <c r="C3">
        <v>3.1322999999999999</v>
      </c>
      <c r="D3" s="5" t="s">
        <v>1</v>
      </c>
      <c r="E3" s="3">
        <v>4.4993999999999996</v>
      </c>
      <c r="F3" s="3">
        <v>3.1071</v>
      </c>
      <c r="G3" s="3">
        <f>ABS(E3-$B$3)/$B$3</f>
        <v>9.0518665345226609E-3</v>
      </c>
      <c r="H3" s="3">
        <f>ABS(F3-$C$3)/$C$3</f>
        <v>8.0452063978545766E-3</v>
      </c>
      <c r="I3" s="3">
        <f>MAX(G3:H3)*100</f>
        <v>0.90518665345226612</v>
      </c>
      <c r="P3" t="s">
        <v>4</v>
      </c>
      <c r="Q3" t="s">
        <v>5</v>
      </c>
      <c r="R3" t="s">
        <v>6</v>
      </c>
      <c r="S3" t="s">
        <v>7</v>
      </c>
      <c r="T3" t="s">
        <v>8</v>
      </c>
      <c r="U3" t="s">
        <v>37</v>
      </c>
    </row>
    <row r="4" spans="1:21" ht="33" customHeight="1" x14ac:dyDescent="0.25">
      <c r="D4" s="6"/>
      <c r="E4" s="3">
        <v>4.4909999999999997</v>
      </c>
      <c r="F4" s="3">
        <v>3.1059999999999999</v>
      </c>
      <c r="G4" s="3">
        <f t="shared" ref="G4:G6" si="0">ABS(E4-$B$3)/$B$3</f>
        <v>1.0901883052527277E-2</v>
      </c>
      <c r="H4" s="3">
        <f t="shared" ref="H4:H6" si="1">ABS(F4-$C$3)/$C$3</f>
        <v>8.3963860422054046E-3</v>
      </c>
      <c r="I4" s="3">
        <f>MAX(G4:H4)*100</f>
        <v>1.0901883052527277</v>
      </c>
      <c r="L4" s="4"/>
      <c r="P4" t="s">
        <v>9</v>
      </c>
      <c r="Q4">
        <v>4.4993999999999996</v>
      </c>
      <c r="R4">
        <v>3.1071</v>
      </c>
      <c r="S4" t="s">
        <v>10</v>
      </c>
      <c r="T4" t="s">
        <v>11</v>
      </c>
      <c r="U4" t="s">
        <v>38</v>
      </c>
    </row>
    <row r="5" spans="1:21" ht="16.5" customHeight="1" x14ac:dyDescent="0.25">
      <c r="D5" s="6"/>
      <c r="E5" s="3"/>
      <c r="F5" s="3"/>
      <c r="G5" s="3"/>
      <c r="H5" s="3"/>
      <c r="I5" s="3"/>
      <c r="L5" s="4"/>
      <c r="P5" t="s">
        <v>9</v>
      </c>
      <c r="Q5">
        <v>4.4909999999999997</v>
      </c>
      <c r="R5">
        <v>3.1059999999999999</v>
      </c>
      <c r="S5" t="s">
        <v>12</v>
      </c>
      <c r="T5" t="s">
        <v>13</v>
      </c>
      <c r="U5" t="s">
        <v>39</v>
      </c>
    </row>
    <row r="6" spans="1:21" ht="17.25" customHeight="1" x14ac:dyDescent="0.25">
      <c r="D6" s="7"/>
      <c r="E6" s="3">
        <v>4.49</v>
      </c>
      <c r="F6" s="3">
        <v>3.1040000000000001</v>
      </c>
      <c r="G6" s="3">
        <f t="shared" si="0"/>
        <v>1.1122123114194372E-2</v>
      </c>
      <c r="H6" s="3">
        <f t="shared" si="1"/>
        <v>9.0348944864795111E-3</v>
      </c>
      <c r="I6" s="3">
        <f>MAX(G6:H6)*100</f>
        <v>1.1122123114194371</v>
      </c>
      <c r="L6" s="4"/>
      <c r="P6" t="s">
        <v>9</v>
      </c>
      <c r="Q6" t="s">
        <v>14</v>
      </c>
      <c r="R6" t="s">
        <v>15</v>
      </c>
      <c r="S6" t="s">
        <v>16</v>
      </c>
      <c r="T6" s="1" t="s">
        <v>40</v>
      </c>
      <c r="U6" t="s">
        <v>41</v>
      </c>
    </row>
    <row r="7" spans="1:21" ht="12" customHeight="1" x14ac:dyDescent="0.25">
      <c r="D7" s="5" t="s">
        <v>3</v>
      </c>
      <c r="E7" s="3"/>
      <c r="F7" s="3"/>
      <c r="G7" s="3"/>
      <c r="H7" s="3"/>
      <c r="I7" s="3"/>
      <c r="L7" s="4"/>
      <c r="P7" t="s">
        <v>9</v>
      </c>
      <c r="Q7">
        <v>4.49</v>
      </c>
      <c r="R7">
        <v>3.1040000000000001</v>
      </c>
      <c r="S7" t="s">
        <v>17</v>
      </c>
      <c r="T7" t="s">
        <v>18</v>
      </c>
      <c r="U7" t="s">
        <v>42</v>
      </c>
    </row>
    <row r="8" spans="1:21" x14ac:dyDescent="0.25">
      <c r="D8" s="6"/>
      <c r="E8" s="3">
        <v>4.5609999999999999</v>
      </c>
      <c r="F8" s="3">
        <v>3.1019999999999999</v>
      </c>
      <c r="G8" s="3">
        <f>ABS(E8-$B$3)/$B$3</f>
        <v>4.5149212641779953E-3</v>
      </c>
      <c r="H8" s="3">
        <f>ABS(F8-$C$3)/$C$3</f>
        <v>9.6734029307537581E-3</v>
      </c>
      <c r="I8" s="3">
        <f>MAX(G8:H8)*100</f>
        <v>0.96734029307537583</v>
      </c>
      <c r="L8" s="4"/>
    </row>
    <row r="9" spans="1:21" x14ac:dyDescent="0.25">
      <c r="D9" s="6"/>
      <c r="E9" s="3"/>
      <c r="F9" s="3"/>
      <c r="G9" s="3"/>
      <c r="H9" s="3"/>
      <c r="I9" s="3"/>
      <c r="L9" s="4"/>
    </row>
    <row r="10" spans="1:21" x14ac:dyDescent="0.25">
      <c r="D10" s="6"/>
      <c r="E10" s="3">
        <v>4.5</v>
      </c>
      <c r="F10" s="3">
        <v>3.12</v>
      </c>
      <c r="G10" s="3">
        <f>ABS(E10-$B$3)/$B$3</f>
        <v>8.9197224975222471E-3</v>
      </c>
      <c r="H10" s="3">
        <f>ABS(F10-$C$3)/$C$3</f>
        <v>3.9268269322861012E-3</v>
      </c>
      <c r="I10" s="3">
        <f>MAX(G10:H10)*100</f>
        <v>0.89197224975222467</v>
      </c>
      <c r="L10" s="4"/>
      <c r="P10" t="s">
        <v>19</v>
      </c>
    </row>
    <row r="11" spans="1:21" x14ac:dyDescent="0.25">
      <c r="D11" s="7"/>
      <c r="E11" s="3">
        <v>4.5430000000000001</v>
      </c>
      <c r="F11" s="3">
        <v>3.1259999999999999</v>
      </c>
      <c r="G11" s="3">
        <f>ABS(E11-$B$3)/$B$3</f>
        <v>5.5060015416812927E-4</v>
      </c>
      <c r="H11" s="3">
        <f>ABS(F11-$C$3)/$C$3</f>
        <v>2.0113015994636441E-3</v>
      </c>
      <c r="I11" s="3">
        <f>MAX(G11:H11)*100</f>
        <v>0.20113015994636441</v>
      </c>
      <c r="L11" s="4"/>
    </row>
    <row r="12" spans="1:21" x14ac:dyDescent="0.25">
      <c r="L12" s="4"/>
      <c r="P12" t="s">
        <v>4</v>
      </c>
      <c r="Q12" t="s">
        <v>5</v>
      </c>
      <c r="R12" t="s">
        <v>6</v>
      </c>
      <c r="S12" t="s">
        <v>20</v>
      </c>
      <c r="T12" t="s">
        <v>8</v>
      </c>
    </row>
    <row r="13" spans="1:21" x14ac:dyDescent="0.25">
      <c r="L13" s="4"/>
      <c r="P13" t="s">
        <v>21</v>
      </c>
      <c r="Q13">
        <v>4.5049999999999999</v>
      </c>
      <c r="R13">
        <v>3.1080000000000001</v>
      </c>
      <c r="S13" t="s">
        <v>22</v>
      </c>
      <c r="T13" t="s">
        <v>23</v>
      </c>
      <c r="U13" t="s">
        <v>41</v>
      </c>
    </row>
    <row r="14" spans="1:21" ht="16.5" x14ac:dyDescent="0.3">
      <c r="P14" t="s">
        <v>21</v>
      </c>
      <c r="Q14" s="2">
        <v>4.5609999999999999</v>
      </c>
      <c r="R14" s="2">
        <v>3.1019999999999999</v>
      </c>
      <c r="S14" t="s">
        <v>24</v>
      </c>
      <c r="T14" t="s">
        <v>25</v>
      </c>
      <c r="U14" t="s">
        <v>43</v>
      </c>
    </row>
    <row r="15" spans="1:21" x14ac:dyDescent="0.25">
      <c r="A15" s="11" t="s">
        <v>48</v>
      </c>
      <c r="B15" s="3" t="s">
        <v>34</v>
      </c>
      <c r="C15" s="3" t="s">
        <v>35</v>
      </c>
      <c r="D15" s="3" t="s">
        <v>32</v>
      </c>
      <c r="E15" s="3" t="s">
        <v>33</v>
      </c>
      <c r="P15" t="s">
        <v>21</v>
      </c>
      <c r="Q15">
        <v>4.76</v>
      </c>
      <c r="R15">
        <v>3.09</v>
      </c>
      <c r="S15" t="s">
        <v>26</v>
      </c>
      <c r="T15" t="s">
        <v>27</v>
      </c>
      <c r="U15" t="s">
        <v>41</v>
      </c>
    </row>
    <row r="16" spans="1:21" x14ac:dyDescent="0.25">
      <c r="A16" s="12"/>
      <c r="B16" s="3">
        <v>0.71489999999999998</v>
      </c>
      <c r="C16" s="3">
        <v>-0.71609999999999996</v>
      </c>
      <c r="D16" s="3">
        <v>2.21</v>
      </c>
      <c r="E16" s="3">
        <v>12.253399999999999</v>
      </c>
      <c r="P16" t="s">
        <v>21</v>
      </c>
      <c r="Q16">
        <v>4.5430000000000001</v>
      </c>
      <c r="R16">
        <v>3.1259999999999999</v>
      </c>
      <c r="S16" t="s">
        <v>44</v>
      </c>
      <c r="T16" t="s">
        <v>28</v>
      </c>
      <c r="U16" t="s">
        <v>43</v>
      </c>
    </row>
    <row r="18" spans="1:11" x14ac:dyDescent="0.25">
      <c r="A18" s="3" t="s">
        <v>29</v>
      </c>
      <c r="B18" s="8" t="s">
        <v>30</v>
      </c>
      <c r="C18" s="9"/>
      <c r="D18" s="9"/>
      <c r="E18" s="10"/>
      <c r="F18" s="8" t="s">
        <v>31</v>
      </c>
      <c r="G18" s="9"/>
      <c r="H18" s="9"/>
      <c r="I18" s="10"/>
    </row>
    <row r="19" spans="1:11" x14ac:dyDescent="0.25">
      <c r="A19" s="3" t="s">
        <v>36</v>
      </c>
      <c r="B19" s="3" t="s">
        <v>34</v>
      </c>
      <c r="C19" s="3" t="s">
        <v>35</v>
      </c>
      <c r="D19" s="3" t="s">
        <v>32</v>
      </c>
      <c r="E19" s="3" t="s">
        <v>33</v>
      </c>
      <c r="F19" s="3" t="s">
        <v>34</v>
      </c>
      <c r="G19" s="3" t="s">
        <v>35</v>
      </c>
      <c r="H19" s="3" t="s">
        <v>32</v>
      </c>
      <c r="I19" s="3" t="s">
        <v>33</v>
      </c>
    </row>
    <row r="20" spans="1:11" x14ac:dyDescent="0.25">
      <c r="A20" s="3">
        <v>0.1</v>
      </c>
      <c r="B20" s="3">
        <v>0.71650000000000003</v>
      </c>
      <c r="C20" s="3">
        <v>-0.71850000000000003</v>
      </c>
      <c r="D20" s="3">
        <v>2.2000000000000002</v>
      </c>
      <c r="E20" s="3">
        <v>12.169499999999999</v>
      </c>
      <c r="F20" s="3">
        <v>0.71430000000000005</v>
      </c>
      <c r="G20" s="3">
        <v>-0.71530000000000005</v>
      </c>
      <c r="H20" s="3">
        <v>2.21</v>
      </c>
      <c r="I20" s="3">
        <v>12.3713</v>
      </c>
      <c r="K20">
        <f>(F20-$B$16)/$B$16</f>
        <v>-8.3927822073007966E-4</v>
      </c>
    </row>
    <row r="21" spans="1:11" x14ac:dyDescent="0.25">
      <c r="A21" s="3">
        <v>0.2</v>
      </c>
      <c r="B21" s="3">
        <v>0.71899999999999997</v>
      </c>
      <c r="C21" s="3">
        <v>-0.72219999999999995</v>
      </c>
      <c r="D21" s="3">
        <v>2.2000000000000002</v>
      </c>
      <c r="E21" s="3">
        <v>12.107799999999999</v>
      </c>
      <c r="F21" s="3">
        <v>0.68069999999999997</v>
      </c>
      <c r="G21" s="3">
        <v>-0.68149999999999999</v>
      </c>
      <c r="H21" s="3">
        <v>2.11</v>
      </c>
      <c r="I21" s="3">
        <v>12.458500000000001</v>
      </c>
      <c r="K21">
        <f t="shared" ref="K21:K24" si="2">(F21-$B$16)/$B$16</f>
        <v>-4.783885858161982E-2</v>
      </c>
    </row>
    <row r="22" spans="1:11" x14ac:dyDescent="0.25">
      <c r="A22" s="3">
        <v>0.3</v>
      </c>
      <c r="B22" s="3">
        <v>0.71819999999999995</v>
      </c>
      <c r="C22" s="3">
        <v>-0.72330000000000005</v>
      </c>
      <c r="D22" s="3">
        <v>2.19</v>
      </c>
      <c r="E22" s="3">
        <v>12.0532</v>
      </c>
      <c r="F22" s="3">
        <v>0.66900000000000004</v>
      </c>
      <c r="G22" s="3">
        <v>-0.67059999999999997</v>
      </c>
      <c r="H22" s="3">
        <v>2.08</v>
      </c>
      <c r="I22" s="3">
        <v>12.564</v>
      </c>
      <c r="K22">
        <f t="shared" si="2"/>
        <v>-6.4204783885858083E-2</v>
      </c>
    </row>
    <row r="23" spans="1:11" x14ac:dyDescent="0.25">
      <c r="A23" s="3">
        <v>0.4</v>
      </c>
      <c r="B23" s="3">
        <v>0.71340000000000003</v>
      </c>
      <c r="C23" s="3">
        <v>-0.72040000000000004</v>
      </c>
      <c r="D23" s="3">
        <v>2.17</v>
      </c>
      <c r="E23" s="3">
        <v>12.0008</v>
      </c>
      <c r="F23" s="3">
        <v>0.62560000000000004</v>
      </c>
      <c r="G23" s="3">
        <v>-0.62680000000000002</v>
      </c>
      <c r="H23" s="3">
        <v>1.94</v>
      </c>
      <c r="I23" s="3">
        <v>12.613099999999999</v>
      </c>
      <c r="K23">
        <f t="shared" si="2"/>
        <v>-0.12491257518534052</v>
      </c>
    </row>
    <row r="24" spans="1:11" x14ac:dyDescent="0.25">
      <c r="A24" s="3">
        <v>0.5</v>
      </c>
      <c r="B24" s="3">
        <v>0.71299999999999997</v>
      </c>
      <c r="C24" s="3">
        <v>-0.72130000000000005</v>
      </c>
      <c r="D24" s="3">
        <v>2.17</v>
      </c>
      <c r="E24" s="3">
        <v>11.9491</v>
      </c>
      <c r="F24" s="3">
        <v>0.57899999999999996</v>
      </c>
      <c r="G24" s="3">
        <v>-0.58089999999999997</v>
      </c>
      <c r="H24" s="3">
        <v>1.8</v>
      </c>
      <c r="I24" s="3">
        <v>12.657</v>
      </c>
      <c r="K24">
        <f t="shared" si="2"/>
        <v>-0.19009651699538399</v>
      </c>
    </row>
  </sheetData>
  <mergeCells count="5">
    <mergeCell ref="D3:D6"/>
    <mergeCell ref="B18:E18"/>
    <mergeCell ref="F18:I18"/>
    <mergeCell ref="A15:A16"/>
    <mergeCell ref="D7:D11"/>
  </mergeCells>
  <hyperlinks>
    <hyperlink ref="T4" r:id="rId1" display="https://pubs.acs.org/doi/abs/10.1021/cm048129l" xr:uid="{1DF290C8-7D39-466A-97F1-05A7BDFE7A36}"/>
    <hyperlink ref="T5" r:id="rId2" display="https://bdt.semi.ac.cn/library/upload/files/2022/1/29104350394.pdf" xr:uid="{4DFB1085-A883-4036-9286-5402046D7BF0}"/>
    <hyperlink ref="T6" r:id="rId3" xr:uid="{4DB78263-50F7-4A69-A691-F42B314E3274}"/>
    <hyperlink ref="T7" r:id="rId4" display="https://dspace.mit.edu/bitstream/handle/1721.1/119888/RuO2_OLEMS_vR.pdf?sequence=1" xr:uid="{99735AE7-F269-4A5E-9F1D-2DD7D995C29C}"/>
    <hyperlink ref="T13" r:id="rId5" display="https://www.sciencedirect.com/science/article/pii/S1369800112000066" xr:uid="{AA11E399-4AA5-47DF-913E-910A3D486737}"/>
    <hyperlink ref="T14" r:id="rId6" display="https://iopscience.iop.org/article/10.1088/1402-4896/abec00/meta" xr:uid="{FBC49E4F-60FB-4515-87BF-C4E801B80CDC}"/>
    <hyperlink ref="T15" r:id="rId7" display="https://www.tandfonline.com/doi/abs/10.1080/14786435.2018.1538576" xr:uid="{8A3C451B-5243-4714-AD02-AF70E081292F}"/>
    <hyperlink ref="T16" r:id="rId8" display="https://www.sciencedirect.com/science/article/pii/S0921452603004174" xr:uid="{C1A58B5C-F46F-49B2-B1C8-4E0C977951E4}"/>
  </hyperlinks>
  <pageMargins left="0.7" right="0.7" top="0.75" bottom="0.75" header="0.3" footer="0.3"/>
  <pageSetup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Lostreangthe</dc:creator>
  <cp:lastModifiedBy>Van Lostreangthe</cp:lastModifiedBy>
  <dcterms:created xsi:type="dcterms:W3CDTF">2025-06-24T12:39:55Z</dcterms:created>
  <dcterms:modified xsi:type="dcterms:W3CDTF">2025-08-16T18:01:35Z</dcterms:modified>
</cp:coreProperties>
</file>